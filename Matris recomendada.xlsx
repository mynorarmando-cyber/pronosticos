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gtsiesa-my.sharepoint.com/personal/mhernandez_siesagt_com/Documents/Escritorio/pruebas/rendimientos/"/>
    </mc:Choice>
  </mc:AlternateContent>
  <xr:revisionPtr revIDLastSave="11" documentId="11_AD4D2F04E46CFB4ACB3E204EC5D2FEC0683EDF17" xr6:coauthVersionLast="47" xr6:coauthVersionMax="47" xr10:uidLastSave="{DD3780B4-1A43-441E-9911-4DF37A9CF340}"/>
  <bookViews>
    <workbookView xWindow="-120" yWindow="-120" windowWidth="20730" windowHeight="11160" activeTab="1" xr2:uid="{00000000-000D-0000-FFFF-FFFF00000000}"/>
  </bookViews>
  <sheets>
    <sheet name="Matriz recomendada" sheetId="1" r:id="rId1"/>
    <sheet name="comportamiento " sheetId="2" r:id="rId2"/>
    <sheet name="Modelo de pronostic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3" l="1"/>
  <c r="I9" i="3"/>
  <c r="I8" i="3"/>
  <c r="I7" i="3"/>
  <c r="I6" i="3"/>
  <c r="I5" i="3"/>
  <c r="I4" i="3"/>
  <c r="I3" i="3"/>
</calcChain>
</file>

<file path=xl/sharedStrings.xml><?xml version="1.0" encoding="utf-8"?>
<sst xmlns="http://schemas.openxmlformats.org/spreadsheetml/2006/main" count="118" uniqueCount="42">
  <si>
    <t>MATRIZ ESTACIONAL RECOMENDADA DE RENDIMIENTO BASE (SEMANAS 1 A 52)</t>
  </si>
  <si>
    <t>Semana Calendario</t>
  </si>
  <si>
    <t>Epoca / Ventana Climatica</t>
  </si>
  <si>
    <t>Broccoli (Kg/Ha)</t>
  </si>
  <si>
    <t>Ejote Fino (Kg/Ha)</t>
  </si>
  <si>
    <t>Ejote Dulce (Kg/Ha)</t>
  </si>
  <si>
    <t>Arveja China (Kg/Ha)</t>
  </si>
  <si>
    <t>Esparrago (Kg/Ha)</t>
  </si>
  <si>
    <t>Inicio de Ano / Salida Frio</t>
  </si>
  <si>
    <t>Ventana Templada (Pico Maximo)</t>
  </si>
  <si>
    <t>Epoca Lluviosa / Baja Estacional</t>
  </si>
  <si>
    <t>Cierre de Ano / Transicion</t>
  </si>
  <si>
    <t>COMPORTAMIENTO COMPARATIVO Y DURACION REAL POR CULTIVO</t>
  </si>
  <si>
    <t>Vegetal (Referencia)</t>
  </si>
  <si>
    <t>Periodo</t>
  </si>
  <si>
    <t>Ciclos Totales</t>
  </si>
  <si>
    <t>Duracion Promedio Real (Semanas)</t>
  </si>
  <si>
    <t>Rendimiento Promedio (Kg/Ha)</t>
  </si>
  <si>
    <t>Rendimiento Mediana (Kg/Ha)</t>
  </si>
  <si>
    <t>Broccoli</t>
  </si>
  <si>
    <t>Actual (2025-2026)</t>
  </si>
  <si>
    <t>Historico (&lt;2025)</t>
  </si>
  <si>
    <t>China</t>
  </si>
  <si>
    <t>Dulce</t>
  </si>
  <si>
    <t>Esparrago</t>
  </si>
  <si>
    <t>Extrafino</t>
  </si>
  <si>
    <t>Fino</t>
  </si>
  <si>
    <t>Grano</t>
  </si>
  <si>
    <t>Runner</t>
  </si>
  <si>
    <t>Zanahoria</t>
  </si>
  <si>
    <t>3. CURVAS DE DISTRIBUCIÓN PORCENTUAL PROMEDIO POR SEMANA DE COSECHA (%)</t>
  </si>
  <si>
    <t>Vegetal</t>
  </si>
  <si>
    <t>Semana 1</t>
  </si>
  <si>
    <t>Semana 2</t>
  </si>
  <si>
    <t>Semana 3</t>
  </si>
  <si>
    <t>Semana 4</t>
  </si>
  <si>
    <t>Semana 5</t>
  </si>
  <si>
    <t>Semana 6</t>
  </si>
  <si>
    <t>Semana 7</t>
  </si>
  <si>
    <t>Total %</t>
  </si>
  <si>
    <t>Semana 2 (32%)</t>
  </si>
  <si>
    <t>Extrafino/Fino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</si>
</sst>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97D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F5597"/>
        <bgColor rgb="FF2F5597"/>
      </patternFill>
    </fill>
  </fills>
  <borders count="4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1" xfId="0" applyBorder="1"/>
    <xf numFmtId="0" fontId="2" fillId="2" borderId="3" xfId="0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/>
    </xf>
    <xf numFmtId="4" fontId="2" fillId="2" borderId="3" xfId="0" applyNumberFormat="1" applyFont="1" applyFill="1" applyBorder="1" applyAlignment="1">
      <alignment horizontal="center" vertical="center"/>
    </xf>
    <xf numFmtId="4" fontId="3" fillId="0" borderId="3" xfId="0" applyNumberFormat="1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10" fontId="3" fillId="0" borderId="3" xfId="0" applyNumberFormat="1" applyFont="1" applyBorder="1" applyAlignment="1">
      <alignment horizontal="right"/>
    </xf>
    <xf numFmtId="10" fontId="4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workbookViewId="0">
      <selection sqref="A1:G1048576"/>
    </sheetView>
  </sheetViews>
  <sheetFormatPr baseColWidth="10" defaultColWidth="9.140625" defaultRowHeight="15" x14ac:dyDescent="0.25"/>
  <cols>
    <col min="1" max="7" width="25.5703125" customWidth="1"/>
  </cols>
  <sheetData>
    <row r="1" spans="1:7" ht="18.75" x14ac:dyDescent="0.3">
      <c r="A1" s="1" t="s">
        <v>0</v>
      </c>
    </row>
    <row r="3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>
        <v>1</v>
      </c>
      <c r="B4" t="s">
        <v>8</v>
      </c>
      <c r="C4">
        <v>8000</v>
      </c>
      <c r="D4">
        <v>9500</v>
      </c>
      <c r="E4">
        <v>7800</v>
      </c>
      <c r="F4">
        <v>7000</v>
      </c>
      <c r="G4">
        <v>3000</v>
      </c>
    </row>
    <row r="5" spans="1:7" x14ac:dyDescent="0.25">
      <c r="A5">
        <v>2</v>
      </c>
      <c r="B5" t="s">
        <v>8</v>
      </c>
      <c r="C5">
        <v>8000</v>
      </c>
      <c r="D5">
        <v>9500</v>
      </c>
      <c r="E5">
        <v>7800</v>
      </c>
      <c r="F5">
        <v>7000</v>
      </c>
      <c r="G5">
        <v>3000</v>
      </c>
    </row>
    <row r="6" spans="1:7" x14ac:dyDescent="0.25">
      <c r="A6">
        <v>3</v>
      </c>
      <c r="B6" t="s">
        <v>8</v>
      </c>
      <c r="C6">
        <v>8000</v>
      </c>
      <c r="D6">
        <v>9500</v>
      </c>
      <c r="E6">
        <v>7800</v>
      </c>
      <c r="F6">
        <v>7000</v>
      </c>
      <c r="G6">
        <v>3000</v>
      </c>
    </row>
    <row r="7" spans="1:7" x14ac:dyDescent="0.25">
      <c r="A7">
        <v>4</v>
      </c>
      <c r="B7" t="s">
        <v>8</v>
      </c>
      <c r="C7">
        <v>8000</v>
      </c>
      <c r="D7">
        <v>9500</v>
      </c>
      <c r="E7">
        <v>7800</v>
      </c>
      <c r="F7">
        <v>7000</v>
      </c>
      <c r="G7">
        <v>3000</v>
      </c>
    </row>
    <row r="8" spans="1:7" x14ac:dyDescent="0.25">
      <c r="A8">
        <v>5</v>
      </c>
      <c r="B8" t="s">
        <v>8</v>
      </c>
      <c r="C8">
        <v>8000</v>
      </c>
      <c r="D8">
        <v>9500</v>
      </c>
      <c r="E8">
        <v>7800</v>
      </c>
      <c r="F8">
        <v>7000</v>
      </c>
      <c r="G8">
        <v>3000</v>
      </c>
    </row>
    <row r="9" spans="1:7" x14ac:dyDescent="0.25">
      <c r="A9">
        <v>6</v>
      </c>
      <c r="B9" t="s">
        <v>8</v>
      </c>
      <c r="C9">
        <v>8000</v>
      </c>
      <c r="D9">
        <v>9500</v>
      </c>
      <c r="E9">
        <v>7800</v>
      </c>
      <c r="F9">
        <v>7000</v>
      </c>
      <c r="G9">
        <v>3000</v>
      </c>
    </row>
    <row r="10" spans="1:7" x14ac:dyDescent="0.25">
      <c r="A10">
        <v>7</v>
      </c>
      <c r="B10" t="s">
        <v>8</v>
      </c>
      <c r="C10">
        <v>8000</v>
      </c>
      <c r="D10">
        <v>9500</v>
      </c>
      <c r="E10">
        <v>7800</v>
      </c>
      <c r="F10">
        <v>7000</v>
      </c>
      <c r="G10">
        <v>3000</v>
      </c>
    </row>
    <row r="11" spans="1:7" x14ac:dyDescent="0.25">
      <c r="A11">
        <v>8</v>
      </c>
      <c r="B11" t="s">
        <v>8</v>
      </c>
      <c r="C11">
        <v>8000</v>
      </c>
      <c r="D11">
        <v>9500</v>
      </c>
      <c r="E11">
        <v>7800</v>
      </c>
      <c r="F11">
        <v>7000</v>
      </c>
      <c r="G11">
        <v>3000</v>
      </c>
    </row>
    <row r="12" spans="1:7" x14ac:dyDescent="0.25">
      <c r="A12">
        <v>9</v>
      </c>
      <c r="B12" t="s">
        <v>8</v>
      </c>
      <c r="C12">
        <v>8000</v>
      </c>
      <c r="D12">
        <v>9500</v>
      </c>
      <c r="E12">
        <v>7800</v>
      </c>
      <c r="F12">
        <v>7000</v>
      </c>
      <c r="G12">
        <v>3000</v>
      </c>
    </row>
    <row r="13" spans="1:7" x14ac:dyDescent="0.25">
      <c r="A13">
        <v>10</v>
      </c>
      <c r="B13" t="s">
        <v>9</v>
      </c>
      <c r="C13">
        <v>10000</v>
      </c>
      <c r="D13">
        <v>11500</v>
      </c>
      <c r="E13">
        <v>9000</v>
      </c>
      <c r="F13">
        <v>8500</v>
      </c>
      <c r="G13">
        <v>4000</v>
      </c>
    </row>
    <row r="14" spans="1:7" x14ac:dyDescent="0.25">
      <c r="A14">
        <v>11</v>
      </c>
      <c r="B14" t="s">
        <v>9</v>
      </c>
      <c r="C14">
        <v>10000</v>
      </c>
      <c r="D14">
        <v>11500</v>
      </c>
      <c r="E14">
        <v>9000</v>
      </c>
      <c r="F14">
        <v>8500</v>
      </c>
      <c r="G14">
        <v>4000</v>
      </c>
    </row>
    <row r="15" spans="1:7" x14ac:dyDescent="0.25">
      <c r="A15">
        <v>12</v>
      </c>
      <c r="B15" t="s">
        <v>9</v>
      </c>
      <c r="C15">
        <v>10000</v>
      </c>
      <c r="D15">
        <v>11500</v>
      </c>
      <c r="E15">
        <v>9000</v>
      </c>
      <c r="F15">
        <v>8500</v>
      </c>
      <c r="G15">
        <v>4000</v>
      </c>
    </row>
    <row r="16" spans="1:7" x14ac:dyDescent="0.25">
      <c r="A16">
        <v>13</v>
      </c>
      <c r="B16" t="s">
        <v>9</v>
      </c>
      <c r="C16">
        <v>10000</v>
      </c>
      <c r="D16">
        <v>11500</v>
      </c>
      <c r="E16">
        <v>9000</v>
      </c>
      <c r="F16">
        <v>8500</v>
      </c>
      <c r="G16">
        <v>4000</v>
      </c>
    </row>
    <row r="17" spans="1:7" x14ac:dyDescent="0.25">
      <c r="A17">
        <v>14</v>
      </c>
      <c r="B17" t="s">
        <v>9</v>
      </c>
      <c r="C17">
        <v>10000</v>
      </c>
      <c r="D17">
        <v>11500</v>
      </c>
      <c r="E17">
        <v>9000</v>
      </c>
      <c r="F17">
        <v>8500</v>
      </c>
      <c r="G17">
        <v>4000</v>
      </c>
    </row>
    <row r="18" spans="1:7" x14ac:dyDescent="0.25">
      <c r="A18">
        <v>15</v>
      </c>
      <c r="B18" t="s">
        <v>9</v>
      </c>
      <c r="C18">
        <v>10000</v>
      </c>
      <c r="D18">
        <v>11500</v>
      </c>
      <c r="E18">
        <v>9000</v>
      </c>
      <c r="F18">
        <v>8500</v>
      </c>
      <c r="G18">
        <v>4000</v>
      </c>
    </row>
    <row r="19" spans="1:7" x14ac:dyDescent="0.25">
      <c r="A19">
        <v>16</v>
      </c>
      <c r="B19" t="s">
        <v>9</v>
      </c>
      <c r="C19">
        <v>10000</v>
      </c>
      <c r="D19">
        <v>11500</v>
      </c>
      <c r="E19">
        <v>9000</v>
      </c>
      <c r="F19">
        <v>8500</v>
      </c>
      <c r="G19">
        <v>4000</v>
      </c>
    </row>
    <row r="20" spans="1:7" x14ac:dyDescent="0.25">
      <c r="A20">
        <v>17</v>
      </c>
      <c r="B20" t="s">
        <v>9</v>
      </c>
      <c r="C20">
        <v>10000</v>
      </c>
      <c r="D20">
        <v>11500</v>
      </c>
      <c r="E20">
        <v>9000</v>
      </c>
      <c r="F20">
        <v>8500</v>
      </c>
      <c r="G20">
        <v>4000</v>
      </c>
    </row>
    <row r="21" spans="1:7" x14ac:dyDescent="0.25">
      <c r="A21">
        <v>18</v>
      </c>
      <c r="B21" t="s">
        <v>9</v>
      </c>
      <c r="C21">
        <v>10000</v>
      </c>
      <c r="D21">
        <v>11500</v>
      </c>
      <c r="E21">
        <v>9000</v>
      </c>
      <c r="F21">
        <v>8500</v>
      </c>
      <c r="G21">
        <v>4000</v>
      </c>
    </row>
    <row r="22" spans="1:7" x14ac:dyDescent="0.25">
      <c r="A22">
        <v>19</v>
      </c>
      <c r="B22" t="s">
        <v>9</v>
      </c>
      <c r="C22">
        <v>10000</v>
      </c>
      <c r="D22">
        <v>11500</v>
      </c>
      <c r="E22">
        <v>9000</v>
      </c>
      <c r="F22">
        <v>8500</v>
      </c>
      <c r="G22">
        <v>4000</v>
      </c>
    </row>
    <row r="23" spans="1:7" x14ac:dyDescent="0.25">
      <c r="A23">
        <v>20</v>
      </c>
      <c r="B23" t="s">
        <v>9</v>
      </c>
      <c r="C23">
        <v>10000</v>
      </c>
      <c r="D23">
        <v>11500</v>
      </c>
      <c r="E23">
        <v>9000</v>
      </c>
      <c r="F23">
        <v>8500</v>
      </c>
      <c r="G23">
        <v>4000</v>
      </c>
    </row>
    <row r="24" spans="1:7" x14ac:dyDescent="0.25">
      <c r="A24">
        <v>21</v>
      </c>
      <c r="B24" t="s">
        <v>9</v>
      </c>
      <c r="C24">
        <v>10000</v>
      </c>
      <c r="D24">
        <v>11500</v>
      </c>
      <c r="E24">
        <v>9000</v>
      </c>
      <c r="F24">
        <v>8500</v>
      </c>
      <c r="G24">
        <v>4000</v>
      </c>
    </row>
    <row r="25" spans="1:7" x14ac:dyDescent="0.25">
      <c r="A25">
        <v>22</v>
      </c>
      <c r="B25" t="s">
        <v>9</v>
      </c>
      <c r="C25">
        <v>10000</v>
      </c>
      <c r="D25">
        <v>11500</v>
      </c>
      <c r="E25">
        <v>9000</v>
      </c>
      <c r="F25">
        <v>8500</v>
      </c>
      <c r="G25">
        <v>4000</v>
      </c>
    </row>
    <row r="26" spans="1:7" x14ac:dyDescent="0.25">
      <c r="A26">
        <v>23</v>
      </c>
      <c r="B26" t="s">
        <v>9</v>
      </c>
      <c r="C26">
        <v>10000</v>
      </c>
      <c r="D26">
        <v>11500</v>
      </c>
      <c r="E26">
        <v>9000</v>
      </c>
      <c r="F26">
        <v>8500</v>
      </c>
      <c r="G26">
        <v>4000</v>
      </c>
    </row>
    <row r="27" spans="1:7" x14ac:dyDescent="0.25">
      <c r="A27">
        <v>24</v>
      </c>
      <c r="B27" t="s">
        <v>9</v>
      </c>
      <c r="C27">
        <v>10000</v>
      </c>
      <c r="D27">
        <v>11500</v>
      </c>
      <c r="E27">
        <v>9000</v>
      </c>
      <c r="F27">
        <v>8500</v>
      </c>
      <c r="G27">
        <v>4000</v>
      </c>
    </row>
    <row r="28" spans="1:7" x14ac:dyDescent="0.25">
      <c r="A28">
        <v>25</v>
      </c>
      <c r="B28" t="s">
        <v>9</v>
      </c>
      <c r="C28">
        <v>10000</v>
      </c>
      <c r="D28">
        <v>11500</v>
      </c>
      <c r="E28">
        <v>9000</v>
      </c>
      <c r="F28">
        <v>8500</v>
      </c>
      <c r="G28">
        <v>4000</v>
      </c>
    </row>
    <row r="29" spans="1:7" x14ac:dyDescent="0.25">
      <c r="A29">
        <v>26</v>
      </c>
      <c r="B29" t="s">
        <v>9</v>
      </c>
      <c r="C29">
        <v>10000</v>
      </c>
      <c r="D29">
        <v>11500</v>
      </c>
      <c r="E29">
        <v>9000</v>
      </c>
      <c r="F29">
        <v>8500</v>
      </c>
      <c r="G29">
        <v>4000</v>
      </c>
    </row>
    <row r="30" spans="1:7" x14ac:dyDescent="0.25">
      <c r="A30">
        <v>27</v>
      </c>
      <c r="B30" t="s">
        <v>9</v>
      </c>
      <c r="C30">
        <v>10000</v>
      </c>
      <c r="D30">
        <v>11500</v>
      </c>
      <c r="E30">
        <v>9000</v>
      </c>
      <c r="F30">
        <v>8500</v>
      </c>
      <c r="G30">
        <v>4000</v>
      </c>
    </row>
    <row r="31" spans="1:7" x14ac:dyDescent="0.25">
      <c r="A31">
        <v>28</v>
      </c>
      <c r="B31" t="s">
        <v>10</v>
      </c>
      <c r="C31">
        <v>6500</v>
      </c>
      <c r="D31">
        <v>8500</v>
      </c>
      <c r="E31">
        <v>7200</v>
      </c>
      <c r="F31">
        <v>6000</v>
      </c>
      <c r="G31">
        <v>2500</v>
      </c>
    </row>
    <row r="32" spans="1:7" x14ac:dyDescent="0.25">
      <c r="A32">
        <v>29</v>
      </c>
      <c r="B32" t="s">
        <v>10</v>
      </c>
      <c r="C32">
        <v>6500</v>
      </c>
      <c r="D32">
        <v>8500</v>
      </c>
      <c r="E32">
        <v>7200</v>
      </c>
      <c r="F32">
        <v>6000</v>
      </c>
      <c r="G32">
        <v>2500</v>
      </c>
    </row>
    <row r="33" spans="1:7" x14ac:dyDescent="0.25">
      <c r="A33">
        <v>30</v>
      </c>
      <c r="B33" t="s">
        <v>10</v>
      </c>
      <c r="C33">
        <v>6500</v>
      </c>
      <c r="D33">
        <v>8500</v>
      </c>
      <c r="E33">
        <v>7200</v>
      </c>
      <c r="F33">
        <v>6000</v>
      </c>
      <c r="G33">
        <v>2500</v>
      </c>
    </row>
    <row r="34" spans="1:7" x14ac:dyDescent="0.25">
      <c r="A34">
        <v>31</v>
      </c>
      <c r="B34" t="s">
        <v>10</v>
      </c>
      <c r="C34">
        <v>6500</v>
      </c>
      <c r="D34">
        <v>8500</v>
      </c>
      <c r="E34">
        <v>7200</v>
      </c>
      <c r="F34">
        <v>6000</v>
      </c>
      <c r="G34">
        <v>2500</v>
      </c>
    </row>
    <row r="35" spans="1:7" x14ac:dyDescent="0.25">
      <c r="A35">
        <v>32</v>
      </c>
      <c r="B35" t="s">
        <v>10</v>
      </c>
      <c r="C35">
        <v>6500</v>
      </c>
      <c r="D35">
        <v>8500</v>
      </c>
      <c r="E35">
        <v>7200</v>
      </c>
      <c r="F35">
        <v>6000</v>
      </c>
      <c r="G35">
        <v>2500</v>
      </c>
    </row>
    <row r="36" spans="1:7" x14ac:dyDescent="0.25">
      <c r="A36">
        <v>33</v>
      </c>
      <c r="B36" t="s">
        <v>10</v>
      </c>
      <c r="C36">
        <v>6500</v>
      </c>
      <c r="D36">
        <v>8500</v>
      </c>
      <c r="E36">
        <v>7200</v>
      </c>
      <c r="F36">
        <v>6000</v>
      </c>
      <c r="G36">
        <v>2500</v>
      </c>
    </row>
    <row r="37" spans="1:7" x14ac:dyDescent="0.25">
      <c r="A37">
        <v>34</v>
      </c>
      <c r="B37" t="s">
        <v>10</v>
      </c>
      <c r="C37">
        <v>6500</v>
      </c>
      <c r="D37">
        <v>8500</v>
      </c>
      <c r="E37">
        <v>7200</v>
      </c>
      <c r="F37">
        <v>6000</v>
      </c>
      <c r="G37">
        <v>2500</v>
      </c>
    </row>
    <row r="38" spans="1:7" x14ac:dyDescent="0.25">
      <c r="A38">
        <v>35</v>
      </c>
      <c r="B38" t="s">
        <v>10</v>
      </c>
      <c r="C38">
        <v>6500</v>
      </c>
      <c r="D38">
        <v>8500</v>
      </c>
      <c r="E38">
        <v>7200</v>
      </c>
      <c r="F38">
        <v>6000</v>
      </c>
      <c r="G38">
        <v>2500</v>
      </c>
    </row>
    <row r="39" spans="1:7" x14ac:dyDescent="0.25">
      <c r="A39">
        <v>36</v>
      </c>
      <c r="B39" t="s">
        <v>10</v>
      </c>
      <c r="C39">
        <v>6500</v>
      </c>
      <c r="D39">
        <v>8500</v>
      </c>
      <c r="E39">
        <v>7200</v>
      </c>
      <c r="F39">
        <v>6000</v>
      </c>
      <c r="G39">
        <v>2500</v>
      </c>
    </row>
    <row r="40" spans="1:7" x14ac:dyDescent="0.25">
      <c r="A40">
        <v>37</v>
      </c>
      <c r="B40" t="s">
        <v>10</v>
      </c>
      <c r="C40">
        <v>6500</v>
      </c>
      <c r="D40">
        <v>8500</v>
      </c>
      <c r="E40">
        <v>7200</v>
      </c>
      <c r="F40">
        <v>6000</v>
      </c>
      <c r="G40">
        <v>2500</v>
      </c>
    </row>
    <row r="41" spans="1:7" x14ac:dyDescent="0.25">
      <c r="A41">
        <v>38</v>
      </c>
      <c r="B41" t="s">
        <v>10</v>
      </c>
      <c r="C41">
        <v>6500</v>
      </c>
      <c r="D41">
        <v>8500</v>
      </c>
      <c r="E41">
        <v>7200</v>
      </c>
      <c r="F41">
        <v>6000</v>
      </c>
      <c r="G41">
        <v>2500</v>
      </c>
    </row>
    <row r="42" spans="1:7" x14ac:dyDescent="0.25">
      <c r="A42">
        <v>39</v>
      </c>
      <c r="B42" t="s">
        <v>10</v>
      </c>
      <c r="C42">
        <v>6500</v>
      </c>
      <c r="D42">
        <v>8500</v>
      </c>
      <c r="E42">
        <v>7200</v>
      </c>
      <c r="F42">
        <v>6000</v>
      </c>
      <c r="G42">
        <v>2500</v>
      </c>
    </row>
    <row r="43" spans="1:7" x14ac:dyDescent="0.25">
      <c r="A43">
        <v>40</v>
      </c>
      <c r="B43" t="s">
        <v>10</v>
      </c>
      <c r="C43">
        <v>6500</v>
      </c>
      <c r="D43">
        <v>8500</v>
      </c>
      <c r="E43">
        <v>7200</v>
      </c>
      <c r="F43">
        <v>6000</v>
      </c>
      <c r="G43">
        <v>2500</v>
      </c>
    </row>
    <row r="44" spans="1:7" x14ac:dyDescent="0.25">
      <c r="A44">
        <v>41</v>
      </c>
      <c r="B44" t="s">
        <v>10</v>
      </c>
      <c r="C44">
        <v>6500</v>
      </c>
      <c r="D44">
        <v>8500</v>
      </c>
      <c r="E44">
        <v>7200</v>
      </c>
      <c r="F44">
        <v>6000</v>
      </c>
      <c r="G44">
        <v>2500</v>
      </c>
    </row>
    <row r="45" spans="1:7" x14ac:dyDescent="0.25">
      <c r="A45">
        <v>42</v>
      </c>
      <c r="B45" t="s">
        <v>10</v>
      </c>
      <c r="C45">
        <v>6500</v>
      </c>
      <c r="D45">
        <v>8500</v>
      </c>
      <c r="E45">
        <v>7200</v>
      </c>
      <c r="F45">
        <v>6000</v>
      </c>
      <c r="G45">
        <v>2500</v>
      </c>
    </row>
    <row r="46" spans="1:7" x14ac:dyDescent="0.25">
      <c r="A46">
        <v>43</v>
      </c>
      <c r="B46" t="s">
        <v>10</v>
      </c>
      <c r="C46">
        <v>6500</v>
      </c>
      <c r="D46">
        <v>8500</v>
      </c>
      <c r="E46">
        <v>7200</v>
      </c>
      <c r="F46">
        <v>6000</v>
      </c>
      <c r="G46">
        <v>2500</v>
      </c>
    </row>
    <row r="47" spans="1:7" x14ac:dyDescent="0.25">
      <c r="A47">
        <v>44</v>
      </c>
      <c r="B47" t="s">
        <v>10</v>
      </c>
      <c r="C47">
        <v>6500</v>
      </c>
      <c r="D47">
        <v>8500</v>
      </c>
      <c r="E47">
        <v>7200</v>
      </c>
      <c r="F47">
        <v>6000</v>
      </c>
      <c r="G47">
        <v>2500</v>
      </c>
    </row>
    <row r="48" spans="1:7" x14ac:dyDescent="0.25">
      <c r="A48">
        <v>45</v>
      </c>
      <c r="B48" t="s">
        <v>11</v>
      </c>
      <c r="C48">
        <v>8000</v>
      </c>
      <c r="D48">
        <v>9500</v>
      </c>
      <c r="E48">
        <v>8000</v>
      </c>
      <c r="F48">
        <v>7000</v>
      </c>
      <c r="G48">
        <v>3000</v>
      </c>
    </row>
    <row r="49" spans="1:7" x14ac:dyDescent="0.25">
      <c r="A49">
        <v>46</v>
      </c>
      <c r="B49" t="s">
        <v>11</v>
      </c>
      <c r="C49">
        <v>8000</v>
      </c>
      <c r="D49">
        <v>9500</v>
      </c>
      <c r="E49">
        <v>8000</v>
      </c>
      <c r="F49">
        <v>7000</v>
      </c>
      <c r="G49">
        <v>3000</v>
      </c>
    </row>
    <row r="50" spans="1:7" x14ac:dyDescent="0.25">
      <c r="A50">
        <v>47</v>
      </c>
      <c r="B50" t="s">
        <v>11</v>
      </c>
      <c r="C50">
        <v>8000</v>
      </c>
      <c r="D50">
        <v>9500</v>
      </c>
      <c r="E50">
        <v>8000</v>
      </c>
      <c r="F50">
        <v>7000</v>
      </c>
      <c r="G50">
        <v>3000</v>
      </c>
    </row>
    <row r="51" spans="1:7" x14ac:dyDescent="0.25">
      <c r="A51">
        <v>48</v>
      </c>
      <c r="B51" t="s">
        <v>11</v>
      </c>
      <c r="C51">
        <v>8000</v>
      </c>
      <c r="D51">
        <v>9500</v>
      </c>
      <c r="E51">
        <v>8000</v>
      </c>
      <c r="F51">
        <v>7000</v>
      </c>
      <c r="G51">
        <v>3000</v>
      </c>
    </row>
    <row r="52" spans="1:7" x14ac:dyDescent="0.25">
      <c r="A52">
        <v>49</v>
      </c>
      <c r="B52" t="s">
        <v>11</v>
      </c>
      <c r="C52">
        <v>8000</v>
      </c>
      <c r="D52">
        <v>9500</v>
      </c>
      <c r="E52">
        <v>8000</v>
      </c>
      <c r="F52">
        <v>7000</v>
      </c>
      <c r="G52">
        <v>3000</v>
      </c>
    </row>
    <row r="53" spans="1:7" x14ac:dyDescent="0.25">
      <c r="A53">
        <v>50</v>
      </c>
      <c r="B53" t="s">
        <v>11</v>
      </c>
      <c r="C53">
        <v>8000</v>
      </c>
      <c r="D53">
        <v>9500</v>
      </c>
      <c r="E53">
        <v>8000</v>
      </c>
      <c r="F53">
        <v>7000</v>
      </c>
      <c r="G53">
        <v>3000</v>
      </c>
    </row>
    <row r="54" spans="1:7" x14ac:dyDescent="0.25">
      <c r="A54">
        <v>51</v>
      </c>
      <c r="B54" t="s">
        <v>11</v>
      </c>
      <c r="C54">
        <v>8000</v>
      </c>
      <c r="D54">
        <v>9500</v>
      </c>
      <c r="E54">
        <v>8000</v>
      </c>
      <c r="F54">
        <v>7000</v>
      </c>
      <c r="G54">
        <v>3000</v>
      </c>
    </row>
    <row r="55" spans="1:7" x14ac:dyDescent="0.25">
      <c r="A55">
        <v>52</v>
      </c>
      <c r="B55" t="s">
        <v>11</v>
      </c>
      <c r="C55">
        <v>8000</v>
      </c>
      <c r="D55">
        <v>9500</v>
      </c>
      <c r="E55">
        <v>8000</v>
      </c>
      <c r="F55">
        <v>7000</v>
      </c>
      <c r="G55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2F75-EDF7-4DCE-B65B-88A5D64C1BD1}">
  <dimension ref="A1:F19"/>
  <sheetViews>
    <sheetView tabSelected="1" workbookViewId="0">
      <selection activeCell="D23" sqref="D23"/>
    </sheetView>
  </sheetViews>
  <sheetFormatPr baseColWidth="10" defaultColWidth="9.140625" defaultRowHeight="15" x14ac:dyDescent="0.25"/>
  <cols>
    <col min="1" max="1" width="57" customWidth="1"/>
    <col min="2" max="2" width="21" customWidth="1"/>
    <col min="3" max="3" width="17" customWidth="1"/>
    <col min="4" max="4" width="35" customWidth="1"/>
    <col min="5" max="5" width="31" customWidth="1"/>
    <col min="6" max="6" width="30" customWidth="1"/>
  </cols>
  <sheetData>
    <row r="1" spans="1:6" ht="18.75" x14ac:dyDescent="0.3">
      <c r="A1" s="1" t="s">
        <v>12</v>
      </c>
    </row>
    <row r="3" spans="1:6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</row>
    <row r="4" spans="1:6" x14ac:dyDescent="0.25">
      <c r="A4" t="s">
        <v>19</v>
      </c>
      <c r="B4" t="s">
        <v>20</v>
      </c>
      <c r="C4">
        <v>136</v>
      </c>
      <c r="D4">
        <v>5.98</v>
      </c>
      <c r="E4">
        <v>6735.1</v>
      </c>
      <c r="F4">
        <v>6865.1</v>
      </c>
    </row>
    <row r="5" spans="1:6" x14ac:dyDescent="0.25">
      <c r="A5" t="s">
        <v>19</v>
      </c>
      <c r="B5" t="s">
        <v>21</v>
      </c>
      <c r="C5">
        <v>545</v>
      </c>
      <c r="D5">
        <v>4.41</v>
      </c>
      <c r="E5">
        <v>5293.9</v>
      </c>
      <c r="F5">
        <v>5021.6000000000004</v>
      </c>
    </row>
    <row r="6" spans="1:6" x14ac:dyDescent="0.25">
      <c r="A6" t="s">
        <v>22</v>
      </c>
      <c r="B6" t="s">
        <v>20</v>
      </c>
      <c r="C6">
        <v>31</v>
      </c>
      <c r="D6">
        <v>4.55</v>
      </c>
      <c r="E6">
        <v>7449.9</v>
      </c>
      <c r="F6">
        <v>7670.6</v>
      </c>
    </row>
    <row r="7" spans="1:6" x14ac:dyDescent="0.25">
      <c r="A7" t="s">
        <v>22</v>
      </c>
      <c r="B7" t="s">
        <v>21</v>
      </c>
      <c r="C7">
        <v>23</v>
      </c>
      <c r="D7">
        <v>4.78</v>
      </c>
      <c r="E7">
        <v>9488.5</v>
      </c>
      <c r="F7">
        <v>9736.1</v>
      </c>
    </row>
    <row r="8" spans="1:6" x14ac:dyDescent="0.25">
      <c r="A8" t="s">
        <v>23</v>
      </c>
      <c r="B8" t="s">
        <v>20</v>
      </c>
      <c r="C8">
        <v>82</v>
      </c>
      <c r="D8">
        <v>4.05</v>
      </c>
      <c r="E8">
        <v>8401.7999999999993</v>
      </c>
      <c r="F8">
        <v>7771.5</v>
      </c>
    </row>
    <row r="9" spans="1:6" x14ac:dyDescent="0.25">
      <c r="A9" t="s">
        <v>23</v>
      </c>
      <c r="B9" t="s">
        <v>21</v>
      </c>
      <c r="C9">
        <v>42</v>
      </c>
      <c r="D9">
        <v>4.9000000000000004</v>
      </c>
      <c r="E9">
        <v>8096.9</v>
      </c>
      <c r="F9">
        <v>7101</v>
      </c>
    </row>
    <row r="10" spans="1:6" x14ac:dyDescent="0.25">
      <c r="A10" t="s">
        <v>24</v>
      </c>
      <c r="B10" t="s">
        <v>20</v>
      </c>
      <c r="C10">
        <v>202</v>
      </c>
      <c r="D10">
        <v>6.38</v>
      </c>
      <c r="E10">
        <v>2586.1999999999998</v>
      </c>
      <c r="F10">
        <v>2267.1999999999998</v>
      </c>
    </row>
    <row r="11" spans="1:6" x14ac:dyDescent="0.25">
      <c r="A11" t="s">
        <v>24</v>
      </c>
      <c r="B11" t="s">
        <v>21</v>
      </c>
      <c r="C11">
        <v>367</v>
      </c>
      <c r="D11">
        <v>5.98</v>
      </c>
      <c r="E11">
        <v>4036.9</v>
      </c>
      <c r="F11">
        <v>3425.5</v>
      </c>
    </row>
    <row r="12" spans="1:6" x14ac:dyDescent="0.25">
      <c r="A12" t="s">
        <v>25</v>
      </c>
      <c r="B12" t="s">
        <v>21</v>
      </c>
      <c r="C12">
        <v>1</v>
      </c>
      <c r="D12">
        <v>1</v>
      </c>
      <c r="E12">
        <v>1200</v>
      </c>
      <c r="F12">
        <v>1200</v>
      </c>
    </row>
    <row r="13" spans="1:6" x14ac:dyDescent="0.25">
      <c r="A13" t="s">
        <v>26</v>
      </c>
      <c r="B13" t="s">
        <v>20</v>
      </c>
      <c r="C13">
        <v>423</v>
      </c>
      <c r="D13">
        <v>2.78</v>
      </c>
      <c r="E13">
        <v>10614.9</v>
      </c>
      <c r="F13">
        <v>10446.200000000001</v>
      </c>
    </row>
    <row r="14" spans="1:6" x14ac:dyDescent="0.25">
      <c r="A14" t="s">
        <v>26</v>
      </c>
      <c r="B14" t="s">
        <v>21</v>
      </c>
      <c r="C14">
        <v>1108</v>
      </c>
      <c r="D14">
        <v>3.43</v>
      </c>
      <c r="E14">
        <v>7352.1</v>
      </c>
      <c r="F14">
        <v>6478.2</v>
      </c>
    </row>
    <row r="15" spans="1:6" x14ac:dyDescent="0.25">
      <c r="A15" t="s">
        <v>27</v>
      </c>
      <c r="B15" t="s">
        <v>20</v>
      </c>
      <c r="C15">
        <v>26</v>
      </c>
      <c r="D15">
        <v>3.62</v>
      </c>
      <c r="E15">
        <v>5469.1</v>
      </c>
      <c r="F15">
        <v>5119.7</v>
      </c>
    </row>
    <row r="16" spans="1:6" x14ac:dyDescent="0.25">
      <c r="A16" t="s">
        <v>27</v>
      </c>
      <c r="B16" t="s">
        <v>21</v>
      </c>
      <c r="C16">
        <v>48</v>
      </c>
      <c r="D16">
        <v>4</v>
      </c>
      <c r="E16">
        <v>3700</v>
      </c>
      <c r="F16">
        <v>2373.4</v>
      </c>
    </row>
    <row r="17" spans="1:6" x14ac:dyDescent="0.25">
      <c r="A17" t="s">
        <v>28</v>
      </c>
      <c r="B17" t="s">
        <v>21</v>
      </c>
      <c r="C17">
        <v>239</v>
      </c>
      <c r="D17">
        <v>4.99</v>
      </c>
      <c r="E17">
        <v>12407.1</v>
      </c>
      <c r="F17">
        <v>12758.1</v>
      </c>
    </row>
    <row r="18" spans="1:6" x14ac:dyDescent="0.25">
      <c r="A18" t="s">
        <v>29</v>
      </c>
      <c r="B18" t="s">
        <v>20</v>
      </c>
      <c r="C18">
        <v>1</v>
      </c>
      <c r="D18">
        <v>1</v>
      </c>
      <c r="E18">
        <v>35.700000000000003</v>
      </c>
      <c r="F18">
        <v>35.700000000000003</v>
      </c>
    </row>
    <row r="19" spans="1:6" x14ac:dyDescent="0.25">
      <c r="A19" t="s">
        <v>29</v>
      </c>
      <c r="B19" t="s">
        <v>21</v>
      </c>
      <c r="C19">
        <v>498</v>
      </c>
      <c r="D19">
        <v>3.13</v>
      </c>
      <c r="E19">
        <v>7433.7</v>
      </c>
      <c r="F19">
        <v>6343.9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4630-8EA6-47E9-A862-640C001FA57B}">
  <dimension ref="A1:K10"/>
  <sheetViews>
    <sheetView workbookViewId="0">
      <selection activeCell="E15" sqref="E15"/>
    </sheetView>
  </sheetViews>
  <sheetFormatPr baseColWidth="10" defaultRowHeight="15" x14ac:dyDescent="0.25"/>
  <sheetData>
    <row r="1" spans="1:11" x14ac:dyDescent="0.25">
      <c r="A1" s="3" t="s">
        <v>30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x14ac:dyDescent="0.25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6" t="s">
        <v>36</v>
      </c>
      <c r="G2" s="7" t="s">
        <v>37</v>
      </c>
      <c r="H2" s="8" t="s">
        <v>38</v>
      </c>
      <c r="I2" s="8" t="s">
        <v>39</v>
      </c>
      <c r="J2" s="9">
        <v>4500</v>
      </c>
      <c r="K2" s="10" t="s">
        <v>40</v>
      </c>
    </row>
    <row r="3" spans="1:11" x14ac:dyDescent="0.25">
      <c r="A3" s="11" t="s">
        <v>19</v>
      </c>
      <c r="B3" s="12">
        <v>0.2271</v>
      </c>
      <c r="C3" s="12">
        <v>0.37859999999999999</v>
      </c>
      <c r="D3" s="12">
        <v>0.2442</v>
      </c>
      <c r="E3" s="12">
        <v>0.15010000000000001</v>
      </c>
      <c r="F3" s="12">
        <v>0</v>
      </c>
      <c r="G3" s="12">
        <v>0</v>
      </c>
      <c r="H3" s="12">
        <v>0</v>
      </c>
      <c r="I3" s="13">
        <f t="shared" ref="I3:I10" si="0">SUM(B3:H3)</f>
        <v>1</v>
      </c>
    </row>
    <row r="4" spans="1:11" x14ac:dyDescent="0.25">
      <c r="A4" s="11" t="s">
        <v>41</v>
      </c>
      <c r="B4" s="12">
        <v>0.42980000000000002</v>
      </c>
      <c r="C4" s="12">
        <v>0.34429999999999999</v>
      </c>
      <c r="D4" s="12">
        <v>0.2258</v>
      </c>
      <c r="E4" s="12">
        <v>0</v>
      </c>
      <c r="F4" s="12">
        <v>0</v>
      </c>
      <c r="G4" s="12">
        <v>0</v>
      </c>
      <c r="H4" s="12">
        <v>0</v>
      </c>
      <c r="I4" s="13">
        <f t="shared" si="0"/>
        <v>0.99990000000000001</v>
      </c>
    </row>
    <row r="5" spans="1:11" x14ac:dyDescent="0.25">
      <c r="A5" s="11" t="s">
        <v>28</v>
      </c>
      <c r="B5" s="12">
        <v>0.1414</v>
      </c>
      <c r="C5" s="12">
        <v>0.21229999999999999</v>
      </c>
      <c r="D5" s="12">
        <v>0.2487</v>
      </c>
      <c r="E5" s="12">
        <v>0.2278</v>
      </c>
      <c r="F5" s="12">
        <v>0.16980000000000001</v>
      </c>
      <c r="G5" s="12">
        <v>0</v>
      </c>
      <c r="H5" s="12">
        <v>0</v>
      </c>
      <c r="I5" s="13">
        <f t="shared" si="0"/>
        <v>1</v>
      </c>
    </row>
    <row r="6" spans="1:11" x14ac:dyDescent="0.25">
      <c r="A6" s="11" t="s">
        <v>29</v>
      </c>
      <c r="B6" s="12">
        <v>0.39579999999999999</v>
      </c>
      <c r="C6" s="12">
        <v>0.36059999999999998</v>
      </c>
      <c r="D6" s="12">
        <v>0.2437</v>
      </c>
      <c r="E6" s="12">
        <v>0</v>
      </c>
      <c r="F6" s="12">
        <v>0</v>
      </c>
      <c r="G6" s="12">
        <v>0</v>
      </c>
      <c r="H6" s="12">
        <v>0</v>
      </c>
      <c r="I6" s="13">
        <f t="shared" si="0"/>
        <v>1.0001</v>
      </c>
    </row>
    <row r="7" spans="1:11" x14ac:dyDescent="0.25">
      <c r="A7" s="11" t="s">
        <v>24</v>
      </c>
      <c r="B7" s="12">
        <v>0.19800000000000001</v>
      </c>
      <c r="C7" s="12">
        <v>0.20610000000000001</v>
      </c>
      <c r="D7" s="12">
        <v>0.17499999999999999</v>
      </c>
      <c r="E7" s="12">
        <v>0.1512</v>
      </c>
      <c r="F7" s="12">
        <v>0.12540000000000001</v>
      </c>
      <c r="G7" s="12">
        <v>0.1024</v>
      </c>
      <c r="H7" s="12">
        <v>4.19E-2</v>
      </c>
      <c r="I7" s="13">
        <f t="shared" si="0"/>
        <v>1</v>
      </c>
    </row>
    <row r="8" spans="1:11" x14ac:dyDescent="0.25">
      <c r="A8" s="11" t="s">
        <v>23</v>
      </c>
      <c r="B8" s="12">
        <v>0.27639999999999998</v>
      </c>
      <c r="C8" s="12">
        <v>0.30719999999999997</v>
      </c>
      <c r="D8" s="12">
        <v>0.25109999999999999</v>
      </c>
      <c r="E8" s="12">
        <v>0.1653</v>
      </c>
      <c r="F8" s="12">
        <v>0</v>
      </c>
      <c r="G8" s="12">
        <v>0</v>
      </c>
      <c r="H8" s="12">
        <v>0</v>
      </c>
      <c r="I8" s="13">
        <f t="shared" si="0"/>
        <v>0.99999999999999989</v>
      </c>
    </row>
    <row r="9" spans="1:11" x14ac:dyDescent="0.25">
      <c r="A9" s="11" t="s">
        <v>22</v>
      </c>
      <c r="B9" s="12">
        <v>0.15820000000000001</v>
      </c>
      <c r="C9" s="12">
        <v>0.33910000000000001</v>
      </c>
      <c r="D9" s="12">
        <v>0.32179999999999997</v>
      </c>
      <c r="E9" s="12">
        <v>0.18090000000000001</v>
      </c>
      <c r="F9" s="12">
        <v>0</v>
      </c>
      <c r="G9" s="12">
        <v>0</v>
      </c>
      <c r="H9" s="12">
        <v>0</v>
      </c>
      <c r="I9" s="13">
        <f t="shared" si="0"/>
        <v>1</v>
      </c>
    </row>
    <row r="10" spans="1:11" x14ac:dyDescent="0.25">
      <c r="A10" s="11" t="s">
        <v>27</v>
      </c>
      <c r="B10" s="12">
        <v>0.30690000000000001</v>
      </c>
      <c r="C10" s="12">
        <v>0.32490000000000002</v>
      </c>
      <c r="D10" s="12">
        <v>0.25440000000000002</v>
      </c>
      <c r="E10" s="12">
        <v>0.1138</v>
      </c>
      <c r="F10" s="12">
        <v>0</v>
      </c>
      <c r="G10" s="12">
        <v>0</v>
      </c>
      <c r="H10" s="12">
        <v>0</v>
      </c>
      <c r="I10" s="13">
        <f t="shared" si="0"/>
        <v>1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 recomendada</vt:lpstr>
      <vt:lpstr>comportamiento </vt:lpstr>
      <vt:lpstr>Modelo de pronosticos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Mynor</dc:creator>
  <cp:lastModifiedBy>Mynor Hernández</cp:lastModifiedBy>
  <dcterms:created xsi:type="dcterms:W3CDTF">2015-06-05T18:19:34Z</dcterms:created>
  <dcterms:modified xsi:type="dcterms:W3CDTF">2026-08-13T00:26:19Z</dcterms:modified>
</cp:coreProperties>
</file>